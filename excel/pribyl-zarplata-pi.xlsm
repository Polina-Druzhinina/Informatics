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88" yWindow="420" windowWidth="22692" windowHeight="9804"/>
  </bookViews>
  <sheets>
    <sheet name="Лист1" sheetId="1" r:id="rId1"/>
  </sheets>
  <calcPr calcId="144525" refMode="R1C1"/>
  <fileRecoveryPr repairLoad="1"/>
</workbook>
</file>

<file path=xl/calcChain.xml><?xml version="1.0" encoding="utf-8"?>
<calcChain xmlns="http://schemas.openxmlformats.org/spreadsheetml/2006/main">
  <c r="D3" i="1" l="1"/>
  <c r="E3" i="1" s="1"/>
  <c r="C6" i="1" l="1"/>
  <c r="B6" i="1"/>
  <c r="D4" i="1"/>
  <c r="D5" i="1"/>
  <c r="F3" i="1" l="1"/>
  <c r="G3" i="1" s="1"/>
  <c r="H3" i="1" s="1"/>
  <c r="E5" i="1"/>
  <c r="F5" i="1"/>
  <c r="E4" i="1"/>
  <c r="F4" i="1"/>
  <c r="G5" i="1" l="1"/>
  <c r="H5" i="1" s="1"/>
  <c r="G4" i="1"/>
  <c r="H4" i="1" s="1"/>
  <c r="E6" i="1"/>
  <c r="F6" i="1"/>
  <c r="H6" i="1" l="1"/>
</calcChain>
</file>

<file path=xl/sharedStrings.xml><?xml version="1.0" encoding="utf-8"?>
<sst xmlns="http://schemas.openxmlformats.org/spreadsheetml/2006/main" count="14" uniqueCount="14">
  <si>
    <t>Иванов</t>
  </si>
  <si>
    <t>Петров</t>
  </si>
  <si>
    <t>Сидоров</t>
  </si>
  <si>
    <t>Начисления</t>
  </si>
  <si>
    <t>Удержания</t>
  </si>
  <si>
    <t>Основное начисление</t>
  </si>
  <si>
    <t>премия</t>
  </si>
  <si>
    <t>всего начислено</t>
  </si>
  <si>
    <t>подоходный налог</t>
  </si>
  <si>
    <t>пенсионный налог</t>
  </si>
  <si>
    <t>всего удержано</t>
  </si>
  <si>
    <t>к выдаче</t>
  </si>
  <si>
    <t>ВСЕГО</t>
  </si>
  <si>
    <t>сотрудники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</si>
</sst>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7" xfId="0" applyFill="1" applyBorder="1" applyAlignment="1">
      <alignment vertical="center" wrapText="1"/>
    </xf>
    <xf numFmtId="0" fontId="0" fillId="0" borderId="0" xfId="0" applyFill="1"/>
    <xf numFmtId="0" fontId="0" fillId="3" borderId="3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0" fillId="4" borderId="3" xfId="0" applyFill="1" applyBorder="1" applyAlignment="1">
      <alignment vertical="center"/>
    </xf>
    <xf numFmtId="0" fontId="0" fillId="0" borderId="8" xfId="0" applyBorder="1"/>
    <xf numFmtId="0" fontId="0" fillId="5" borderId="1" xfId="0" applyFill="1" applyBorder="1"/>
    <xf numFmtId="1" fontId="0" fillId="5" borderId="1" xfId="0" applyNumberFormat="1" applyFill="1" applyBorder="1"/>
    <xf numFmtId="0" fontId="1" fillId="0" borderId="2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9" xfId="0" applyBorder="1" applyProtection="1">
      <protection locked="0"/>
    </xf>
    <xf numFmtId="0" fontId="0" fillId="4" borderId="1" xfId="0" applyFill="1" applyBorder="1" applyProtection="1"/>
    <xf numFmtId="1" fontId="0" fillId="0" borderId="1" xfId="0" applyNumberFormat="1" applyBorder="1" applyProtection="1"/>
    <xf numFmtId="1" fontId="0" fillId="3" borderId="1" xfId="0" applyNumberFormat="1" applyFill="1" applyBorder="1" applyProtection="1"/>
    <xf numFmtId="1" fontId="0" fillId="2" borderId="7" xfId="0" applyNumberFormat="1" applyFill="1" applyBorder="1" applyProtection="1"/>
  </cellXfs>
  <cellStyles count="1">
    <cellStyle name="Обычный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Лист1!$H$2</c:f>
              <c:strCache>
                <c:ptCount val="1"/>
                <c:pt idx="0">
                  <c:v>к выдаче</c:v>
                </c:pt>
              </c:strCache>
            </c:strRef>
          </c:tx>
          <c:invertIfNegative val="0"/>
          <c:cat>
            <c:strRef>
              <c:f>Лист1!$A$3:$A$5</c:f>
              <c:strCache>
                <c:ptCount val="3"/>
                <c:pt idx="0">
                  <c:v>Иванов</c:v>
                </c:pt>
                <c:pt idx="1">
                  <c:v>Петров</c:v>
                </c:pt>
                <c:pt idx="2">
                  <c:v>Сидоров</c:v>
                </c:pt>
              </c:strCache>
            </c:strRef>
          </c:cat>
          <c:val>
            <c:numRef>
              <c:f>Лист1!$H$3:$H$5</c:f>
              <c:numCache>
                <c:formatCode>0</c:formatCode>
                <c:ptCount val="3"/>
                <c:pt idx="0">
                  <c:v>14047.8</c:v>
                </c:pt>
                <c:pt idx="1">
                  <c:v>17889.3</c:v>
                </c:pt>
                <c:pt idx="2">
                  <c:v>24207.3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295424"/>
        <c:axId val="181989312"/>
      </c:barChart>
      <c:catAx>
        <c:axId val="216295424"/>
        <c:scaling>
          <c:orientation val="minMax"/>
        </c:scaling>
        <c:delete val="0"/>
        <c:axPos val="l"/>
        <c:majorTickMark val="out"/>
        <c:minorTickMark val="none"/>
        <c:tickLblPos val="nextTo"/>
        <c:crossAx val="181989312"/>
        <c:crosses val="autoZero"/>
        <c:auto val="1"/>
        <c:lblAlgn val="ctr"/>
        <c:lblOffset val="100"/>
        <c:noMultiLvlLbl val="0"/>
      </c:catAx>
      <c:valAx>
        <c:axId val="181989312"/>
        <c:scaling>
          <c:orientation val="minMax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21629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601980</xdr:colOff>
          <xdr:row>1</xdr:row>
          <xdr:rowOff>22860</xdr:rowOff>
        </xdr:from>
        <xdr:to>
          <xdr:col>14</xdr:col>
          <xdr:colOff>312420</xdr:colOff>
          <xdr:row>4</xdr:row>
          <xdr:rowOff>7620</xdr:rowOff>
        </xdr:to>
        <xdr:sp macro="" textlink="">
          <xdr:nvSpPr>
            <xdr:cNvPr id="1026" name="Расчет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144780</xdr:colOff>
      <xdr:row>8</xdr:row>
      <xdr:rowOff>11430</xdr:rowOff>
    </xdr:from>
    <xdr:to>
      <xdr:col>14</xdr:col>
      <xdr:colOff>449580</xdr:colOff>
      <xdr:row>23</xdr:row>
      <xdr:rowOff>11430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2"/>
  <sheetViews>
    <sheetView tabSelected="1" zoomScaleNormal="100" workbookViewId="0">
      <selection activeCell="E16" sqref="E16"/>
    </sheetView>
  </sheetViews>
  <sheetFormatPr defaultRowHeight="14.4" outlineLevelCol="1" x14ac:dyDescent="0.3"/>
  <cols>
    <col min="1" max="1" width="13.33203125" customWidth="1"/>
    <col min="2" max="2" width="11.33203125" customWidth="1" outlineLevel="1"/>
    <col min="3" max="3" width="8.88671875" customWidth="1" outlineLevel="1"/>
    <col min="4" max="4" width="10.5546875" customWidth="1" outlineLevel="1"/>
    <col min="5" max="5" width="12.109375" customWidth="1" outlineLevel="1"/>
    <col min="6" max="6" width="13.33203125" customWidth="1" outlineLevel="1"/>
    <col min="7" max="7" width="12" customWidth="1" outlineLevel="1"/>
  </cols>
  <sheetData>
    <row r="1" spans="1:8" ht="15" thickBot="1" x14ac:dyDescent="0.35">
      <c r="A1" s="2"/>
      <c r="B1" s="13" t="s">
        <v>3</v>
      </c>
      <c r="C1" s="13"/>
      <c r="D1" s="13"/>
      <c r="E1" s="13" t="s">
        <v>4</v>
      </c>
      <c r="F1" s="13"/>
      <c r="G1" s="13"/>
      <c r="H1" s="3"/>
    </row>
    <row r="2" spans="1:8" ht="28.8" x14ac:dyDescent="0.3">
      <c r="A2" s="4" t="s">
        <v>13</v>
      </c>
      <c r="B2" s="8" t="s">
        <v>5</v>
      </c>
      <c r="C2" s="9" t="s">
        <v>6</v>
      </c>
      <c r="D2" s="8" t="s">
        <v>7</v>
      </c>
      <c r="E2" s="7" t="s">
        <v>8</v>
      </c>
      <c r="F2" s="7" t="s">
        <v>9</v>
      </c>
      <c r="G2" s="7" t="s">
        <v>10</v>
      </c>
      <c r="H2" s="5" t="s">
        <v>11</v>
      </c>
    </row>
    <row r="3" spans="1:8" x14ac:dyDescent="0.3">
      <c r="A3" s="4" t="s">
        <v>0</v>
      </c>
      <c r="B3" s="14">
        <v>12836</v>
      </c>
      <c r="C3" s="14">
        <v>8776</v>
      </c>
      <c r="D3" s="16">
        <f>SUM(B3:C3)</f>
        <v>21612</v>
      </c>
      <c r="E3" s="17">
        <f>D3*0.13</f>
        <v>2809.56</v>
      </c>
      <c r="F3" s="17">
        <f>D3*0.22</f>
        <v>4754.6400000000003</v>
      </c>
      <c r="G3" s="18">
        <f>SUM(E3:F3)</f>
        <v>7564.2000000000007</v>
      </c>
      <c r="H3" s="19">
        <f>D3-G3</f>
        <v>14047.8</v>
      </c>
    </row>
    <row r="4" spans="1:8" x14ac:dyDescent="0.3">
      <c r="A4" s="4" t="s">
        <v>1</v>
      </c>
      <c r="B4" s="14">
        <v>13028</v>
      </c>
      <c r="C4" s="14">
        <v>14494</v>
      </c>
      <c r="D4" s="16">
        <f t="shared" ref="D4:D5" si="0">SUM(B4:C4)</f>
        <v>27522</v>
      </c>
      <c r="E4" s="17">
        <f t="shared" ref="E4:E5" si="1">D4*0.13</f>
        <v>3577.86</v>
      </c>
      <c r="F4" s="17">
        <f t="shared" ref="F4:F5" si="2">D4*0.22</f>
        <v>6054.84</v>
      </c>
      <c r="G4" s="18">
        <f t="shared" ref="G4:G5" si="3">SUM(E4:F4)</f>
        <v>9632.7000000000007</v>
      </c>
      <c r="H4" s="19">
        <f t="shared" ref="H4:H5" si="4">D4-G4</f>
        <v>17889.3</v>
      </c>
    </row>
    <row r="5" spans="1:8" x14ac:dyDescent="0.3">
      <c r="A5" s="10" t="s">
        <v>2</v>
      </c>
      <c r="B5" s="15">
        <v>13116</v>
      </c>
      <c r="C5" s="15">
        <v>24126</v>
      </c>
      <c r="D5" s="16">
        <f t="shared" si="0"/>
        <v>37242</v>
      </c>
      <c r="E5" s="17">
        <f t="shared" si="1"/>
        <v>4841.46</v>
      </c>
      <c r="F5" s="17">
        <f t="shared" si="2"/>
        <v>8193.24</v>
      </c>
      <c r="G5" s="18">
        <f>SUM(E5:F5)</f>
        <v>13034.7</v>
      </c>
      <c r="H5" s="19">
        <f t="shared" si="4"/>
        <v>24207.3</v>
      </c>
    </row>
    <row r="6" spans="1:8" x14ac:dyDescent="0.3">
      <c r="A6" s="11" t="s">
        <v>12</v>
      </c>
      <c r="B6" s="11">
        <f>SUM(B3:B5)</f>
        <v>38980</v>
      </c>
      <c r="C6" s="11">
        <f>SUM(C3:C5)</f>
        <v>47396</v>
      </c>
      <c r="D6" s="1"/>
      <c r="E6" s="12">
        <f>SUM(E3:E5)</f>
        <v>11228.880000000001</v>
      </c>
      <c r="F6" s="12">
        <f>SUM(F3:F5)</f>
        <v>19002.72</v>
      </c>
      <c r="G6" s="1"/>
      <c r="H6" s="12">
        <f>SUM(H3:H5)</f>
        <v>56144.399999999994</v>
      </c>
    </row>
    <row r="12" spans="1:8" x14ac:dyDescent="0.3">
      <c r="G12" s="6"/>
    </row>
  </sheetData>
  <sheetProtection password="CF7A" sheet="1" objects="1" scenarios="1"/>
  <mergeCells count="2">
    <mergeCell ref="B1:D1"/>
    <mergeCell ref="E1:G1"/>
  </mergeCells>
  <conditionalFormatting sqref="H3:H5">
    <cfRule type="cellIs" dxfId="0" priority="1" operator="lessThan">
      <formula>12333</formula>
    </cfRule>
  </conditionalFormatting>
  <dataValidations count="1">
    <dataValidation type="decimal" operator="greaterThanOrEqual" allowBlank="1" showInputMessage="1" showErrorMessage="1" errorTitle="Неверный тип данных" error="Введите число_x000a_" promptTitle="Тип даннх" prompt="Введите число!" sqref="B3:C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Расчет">
          <controlPr defaultSize="0" autoLine="0" r:id="rId5">
            <anchor moveWithCells="1">
              <from>
                <xdr:col>9</xdr:col>
                <xdr:colOff>601980</xdr:colOff>
                <xdr:row>1</xdr:row>
                <xdr:rowOff>22860</xdr:rowOff>
              </from>
              <to>
                <xdr:col>14</xdr:col>
                <xdr:colOff>312420</xdr:colOff>
                <xdr:row>4</xdr:row>
                <xdr:rowOff>7620</xdr:rowOff>
              </to>
            </anchor>
          </controlPr>
        </control>
      </mc:Choice>
      <mc:Fallback>
        <control shapeId="1026" r:id="rId4" name="Расчет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Дружинина</dc:creator>
  <cp:lastModifiedBy>Полина Дружинина</cp:lastModifiedBy>
  <dcterms:created xsi:type="dcterms:W3CDTF">2025-11-04T02:51:31Z</dcterms:created>
  <dcterms:modified xsi:type="dcterms:W3CDTF">2025-11-04T03:59:17Z</dcterms:modified>
</cp:coreProperties>
</file>