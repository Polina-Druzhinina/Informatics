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144" windowWidth="22980" windowHeight="10080"/>
  </bookViews>
  <sheets>
    <sheet name="Лист1" sheetId="1" r:id="rId1"/>
    <sheet name="Лист4" sheetId="4" r:id="rId2"/>
  </sheets>
  <calcPr calcId="144525" refMode="R1C1"/>
</workbook>
</file>

<file path=xl/calcChain.xml><?xml version="1.0" encoding="utf-8"?>
<calcChain xmlns="http://schemas.openxmlformats.org/spreadsheetml/2006/main">
  <c r="D3" i="4" l="1"/>
  <c r="E3" i="4" s="1"/>
  <c r="D4" i="4"/>
  <c r="E4" i="4" s="1"/>
  <c r="D5" i="4"/>
  <c r="E5" i="4" s="1"/>
  <c r="D6" i="4"/>
  <c r="E6" i="4" s="1"/>
  <c r="D7" i="4"/>
  <c r="E7" i="4" s="1"/>
  <c r="D8" i="4"/>
  <c r="E8" i="4" s="1"/>
  <c r="D9" i="4"/>
  <c r="E9" i="4" s="1"/>
  <c r="D10" i="4"/>
  <c r="E10" i="4" s="1"/>
  <c r="D11" i="4"/>
  <c r="E11" i="4" s="1"/>
  <c r="D12" i="4"/>
  <c r="E12" i="4" s="1"/>
  <c r="D13" i="4"/>
  <c r="E13" i="4" s="1"/>
  <c r="D2" i="4"/>
  <c r="E2" i="4" s="1"/>
  <c r="C7" i="1"/>
  <c r="B10" i="1" l="1"/>
  <c r="C6" i="1"/>
  <c r="C8" i="1"/>
  <c r="B12" i="1"/>
  <c r="B13" i="1"/>
  <c r="B3" i="1"/>
  <c r="C3" i="1"/>
  <c r="B4" i="1"/>
  <c r="C4" i="1"/>
  <c r="B5" i="1"/>
  <c r="C5" i="1"/>
  <c r="B6" i="1"/>
  <c r="B7" i="1"/>
  <c r="B8" i="1"/>
  <c r="B9" i="1"/>
  <c r="C9" i="1"/>
  <c r="C10" i="1"/>
  <c r="B11" i="1"/>
  <c r="C11" i="1"/>
  <c r="C12" i="1"/>
  <c r="C13" i="1"/>
  <c r="C2" i="1"/>
  <c r="B2" i="1"/>
  <c r="D2" i="1" l="1"/>
  <c r="C14" i="1"/>
  <c r="B14" i="1"/>
  <c r="D10" i="1"/>
  <c r="E10" i="1" s="1"/>
  <c r="D13" i="1"/>
  <c r="E13" i="1" s="1"/>
  <c r="D12" i="1"/>
  <c r="E12" i="1" s="1"/>
  <c r="D11" i="1"/>
  <c r="E11" i="1" s="1"/>
  <c r="D6" i="1"/>
  <c r="E6" i="1" s="1"/>
  <c r="D5" i="1"/>
  <c r="E5" i="1" s="1"/>
  <c r="D4" i="1"/>
  <c r="E4" i="1" s="1"/>
  <c r="D9" i="1"/>
  <c r="E9" i="1" s="1"/>
  <c r="D3" i="1"/>
  <c r="E3" i="1" s="1"/>
  <c r="D8" i="1"/>
  <c r="E8" i="1" s="1"/>
  <c r="D7" i="1"/>
  <c r="E7" i="1" s="1"/>
  <c r="D26" i="1" l="1"/>
  <c r="A26" i="1" s="1"/>
  <c r="D24" i="1"/>
  <c r="A24" i="1" s="1"/>
  <c r="E2" i="1"/>
  <c r="E14" i="1" s="1"/>
  <c r="D14" i="1"/>
</calcChain>
</file>

<file path=xl/comments1.xml><?xml version="1.0" encoding="utf-8"?>
<comments xmlns="http://schemas.openxmlformats.org/spreadsheetml/2006/main">
  <authors>
    <author>Полина Дружинина</author>
  </authors>
  <commentList>
    <comment ref="A24" authorId="0">
      <text>
        <r>
          <rPr>
            <b/>
            <sz val="9"/>
            <color indexed="81"/>
            <rFont val="Tahoma"/>
            <family val="2"/>
            <charset val="204"/>
          </rPr>
          <t>Полина Дружинина:</t>
        </r>
        <r>
          <rPr>
            <sz val="9"/>
            <color indexed="81"/>
            <rFont val="Tahoma"/>
            <family val="2"/>
            <charset val="204"/>
          </rPr>
          <t xml:space="preserve">
иногда выдает н/д, но при обновлении данных, месяц высвечивается
</t>
        </r>
      </text>
    </comment>
  </commentList>
</comments>
</file>

<file path=xl/sharedStrings.xml><?xml version="1.0" encoding="utf-8"?>
<sst xmlns="http://schemas.openxmlformats.org/spreadsheetml/2006/main" count="40" uniqueCount="22">
  <si>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</si>
  <si>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</si>
  <si>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</si>
  <si>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</si>
  <si>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</si>
  <si>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</si>
  <si>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</si>
  <si>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</si>
  <si>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</si>
  <si>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</si>
  <si>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</si>
  <si>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</si>
  <si>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доход</t>
  </si>
  <si>
    <t>месяц</t>
  </si>
  <si>
    <t>расход</t>
  </si>
  <si>
    <t>прибыль</t>
  </si>
  <si>
    <t>налог</t>
  </si>
  <si>
    <t>нс</t>
  </si>
  <si>
    <t>ИТОГО</t>
  </si>
  <si>
    <t>Макс прибыль</t>
  </si>
  <si>
    <t>Месяц</t>
  </si>
  <si>
    <t>Мин 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</si>
</sst>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1" xfId="0" applyFont="1" applyBorder="1"/>
    <xf numFmtId="0" fontId="0" fillId="0" borderId="1" xfId="0" applyBorder="1"/>
    <xf numFmtId="9" fontId="0" fillId="0" borderId="0" xfId="1" applyFont="1"/>
    <xf numFmtId="9" fontId="0" fillId="2" borderId="1" xfId="1" applyFont="1" applyFill="1" applyBorder="1"/>
    <xf numFmtId="0" fontId="0" fillId="3" borderId="1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0" borderId="2" xfId="0" applyFill="1" applyBorder="1"/>
    <xf numFmtId="0" fontId="0" fillId="0" borderId="1" xfId="0" applyBorder="1" applyAlignment="1">
      <alignment wrapText="1"/>
    </xf>
    <xf numFmtId="0" fontId="3" fillId="4" borderId="1" xfId="0" applyFont="1" applyFill="1" applyBorder="1"/>
    <xf numFmtId="0" fontId="0" fillId="5" borderId="1" xfId="0" applyFill="1" applyBorder="1" applyProtection="1">
      <protection locked="0"/>
    </xf>
    <xf numFmtId="0" fontId="2" fillId="0" borderId="0" xfId="0" applyFont="1" applyFill="1" applyBorder="1"/>
  </cellXfs>
  <cellStyles count="2">
    <cellStyle name="Обычный" xfId="0" builtinId="0"/>
    <cellStyle name="Процентный" xfId="1" builtinId="5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Лист1!$D$1</c:f>
              <c:strCache>
                <c:ptCount val="1"/>
                <c:pt idx="0">
                  <c:v>прибыль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linear"/>
            <c:forward val="3"/>
            <c:dispRSqr val="0"/>
            <c:dispEq val="0"/>
          </c:trendline>
          <c:trendline>
            <c:trendlineType val="linear"/>
            <c:forward val="3"/>
            <c:dispRSqr val="0"/>
            <c:dispEq val="0"/>
          </c:trendline>
          <c:cat>
            <c:strRef>
              <c:f>Лист1!$A$2:$A$13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Лист1!$D$2:$D$13</c:f>
              <c:numCache>
                <c:formatCode>General</c:formatCode>
                <c:ptCount val="12"/>
                <c:pt idx="0">
                  <c:v>350</c:v>
                </c:pt>
                <c:pt idx="1">
                  <c:v>-529</c:v>
                </c:pt>
                <c:pt idx="2">
                  <c:v>784</c:v>
                </c:pt>
                <c:pt idx="3">
                  <c:v>163</c:v>
                </c:pt>
                <c:pt idx="4">
                  <c:v>10</c:v>
                </c:pt>
                <c:pt idx="5">
                  <c:v>203</c:v>
                </c:pt>
                <c:pt idx="6">
                  <c:v>-416</c:v>
                </c:pt>
                <c:pt idx="7">
                  <c:v>306</c:v>
                </c:pt>
                <c:pt idx="8">
                  <c:v>-59</c:v>
                </c:pt>
                <c:pt idx="9">
                  <c:v>72</c:v>
                </c:pt>
                <c:pt idx="10">
                  <c:v>-419</c:v>
                </c:pt>
                <c:pt idx="11">
                  <c:v>252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72256"/>
        <c:axId val="44414016"/>
      </c:lineChart>
      <c:catAx>
        <c:axId val="1750722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414016"/>
        <c:crosses val="autoZero"/>
        <c:auto val="1"/>
        <c:lblAlgn val="ctr"/>
        <c:lblOffset val="100"/>
        <c:noMultiLvlLbl val="0"/>
      </c:catAx>
      <c:valAx>
        <c:axId val="4441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072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416169</xdr:colOff>
      <xdr:row>1</xdr:row>
      <xdr:rowOff>70339</xdr:rowOff>
    </xdr:from>
    <xdr:to>
      <xdr:col>14</xdr:col>
      <xdr:colOff>11723</xdr:colOff>
      <xdr:row>18</xdr:row>
      <xdr:rowOff>102578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</xdr:row>
          <xdr:rowOff>68580</xdr:rowOff>
        </xdr:from>
        <xdr:to>
          <xdr:col>11</xdr:col>
          <xdr:colOff>175260</xdr:colOff>
          <xdr:row>5</xdr:row>
          <xdr:rowOff>144780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434340</xdr:colOff>
          <xdr:row>7</xdr:row>
          <xdr:rowOff>76200</xdr:rowOff>
        </xdr:from>
        <xdr:to>
          <xdr:col>11</xdr:col>
          <xdr:colOff>213360</xdr:colOff>
          <xdr:row>11</xdr:row>
          <xdr:rowOff>53340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M26"/>
  <sheetViews>
    <sheetView tabSelected="1" zoomScale="85" zoomScaleNormal="85" workbookViewId="0">
      <selection activeCell="F31" sqref="F31"/>
    </sheetView>
  </sheetViews>
  <sheetFormatPr defaultRowHeight="14.4" outlineLevelRow="1" outlineLevelCol="1" x14ac:dyDescent="0.3"/>
  <cols>
    <col min="2" max="4" width="8.88671875" customWidth="1" outlineLevel="1"/>
  </cols>
  <sheetData>
    <row r="1" spans="1:13" x14ac:dyDescent="0.3">
      <c r="A1" s="1" t="s">
        <v>13</v>
      </c>
      <c r="B1" s="1" t="s">
        <v>12</v>
      </c>
      <c r="C1" s="1" t="s">
        <v>14</v>
      </c>
      <c r="D1" s="1" t="s">
        <v>15</v>
      </c>
      <c r="E1" s="1" t="s">
        <v>16</v>
      </c>
      <c r="L1" s="2" t="s">
        <v>17</v>
      </c>
      <c r="M1" s="4">
        <v>0.13</v>
      </c>
    </row>
    <row r="2" spans="1:13" outlineLevel="1" x14ac:dyDescent="0.3">
      <c r="A2" s="2" t="s">
        <v>0</v>
      </c>
      <c r="B2" s="5">
        <f ca="1">RANDBETWEEN(0,1000)</f>
        <v>966</v>
      </c>
      <c r="C2" s="5">
        <f ca="1">RANDBETWEEN(0,1000)</f>
        <v>616</v>
      </c>
      <c r="D2" s="2">
        <f ca="1">B2-C2</f>
        <v>350</v>
      </c>
      <c r="E2" s="2">
        <f ca="1">IF(D2&gt;0,D2*$M$1,0)</f>
        <v>45.5</v>
      </c>
    </row>
    <row r="3" spans="1:13" outlineLevel="1" x14ac:dyDescent="0.3">
      <c r="A3" s="2" t="s">
        <v>1</v>
      </c>
      <c r="B3" s="5">
        <f t="shared" ref="B3:C13" ca="1" si="0">RANDBETWEEN(0,1000)</f>
        <v>2</v>
      </c>
      <c r="C3" s="5">
        <f t="shared" ca="1" si="0"/>
        <v>531</v>
      </c>
      <c r="D3" s="2">
        <f t="shared" ref="D3:D13" ca="1" si="1">B3-C3</f>
        <v>-529</v>
      </c>
      <c r="E3" s="2">
        <f t="shared" ref="E3:E13" ca="1" si="2">IF(D3&gt;0,D3*$M$1,0)</f>
        <v>0</v>
      </c>
    </row>
    <row r="4" spans="1:13" outlineLevel="1" x14ac:dyDescent="0.3">
      <c r="A4" s="2" t="s">
        <v>2</v>
      </c>
      <c r="B4" s="5">
        <f t="shared" ca="1" si="0"/>
        <v>894</v>
      </c>
      <c r="C4" s="5">
        <f t="shared" ca="1" si="0"/>
        <v>110</v>
      </c>
      <c r="D4" s="2">
        <f t="shared" ca="1" si="1"/>
        <v>784</v>
      </c>
      <c r="E4" s="2">
        <f t="shared" ca="1" si="2"/>
        <v>101.92</v>
      </c>
    </row>
    <row r="5" spans="1:13" outlineLevel="1" x14ac:dyDescent="0.3">
      <c r="A5" s="2" t="s">
        <v>3</v>
      </c>
      <c r="B5" s="5">
        <f t="shared" ca="1" si="0"/>
        <v>772</v>
      </c>
      <c r="C5" s="5">
        <f t="shared" ca="1" si="0"/>
        <v>609</v>
      </c>
      <c r="D5" s="2">
        <f t="shared" ca="1" si="1"/>
        <v>163</v>
      </c>
      <c r="E5" s="2">
        <f t="shared" ca="1" si="2"/>
        <v>21.19</v>
      </c>
    </row>
    <row r="6" spans="1:13" outlineLevel="1" x14ac:dyDescent="0.3">
      <c r="A6" s="2" t="s">
        <v>4</v>
      </c>
      <c r="B6" s="5">
        <f t="shared" ca="1" si="0"/>
        <v>168</v>
      </c>
      <c r="C6" s="5">
        <f ca="1">RANDBETWEEN(0,1000)</f>
        <v>158</v>
      </c>
      <c r="D6" s="2">
        <f t="shared" ca="1" si="1"/>
        <v>10</v>
      </c>
      <c r="E6" s="2">
        <f t="shared" ca="1" si="2"/>
        <v>1.3</v>
      </c>
    </row>
    <row r="7" spans="1:13" outlineLevel="1" x14ac:dyDescent="0.3">
      <c r="A7" s="2" t="s">
        <v>5</v>
      </c>
      <c r="B7" s="5">
        <f t="shared" ca="1" si="0"/>
        <v>288</v>
      </c>
      <c r="C7" s="5">
        <f ca="1">RANDBETWEEN(0,1000)</f>
        <v>85</v>
      </c>
      <c r="D7" s="2">
        <f t="shared" ca="1" si="1"/>
        <v>203</v>
      </c>
      <c r="E7" s="2">
        <f t="shared" ca="1" si="2"/>
        <v>26.39</v>
      </c>
    </row>
    <row r="8" spans="1:13" outlineLevel="1" x14ac:dyDescent="0.3">
      <c r="A8" s="2" t="s">
        <v>6</v>
      </c>
      <c r="B8" s="5">
        <f t="shared" ca="1" si="0"/>
        <v>284</v>
      </c>
      <c r="C8" s="5">
        <f t="shared" ca="1" si="0"/>
        <v>700</v>
      </c>
      <c r="D8" s="2">
        <f t="shared" ca="1" si="1"/>
        <v>-416</v>
      </c>
      <c r="E8" s="2">
        <f t="shared" ca="1" si="2"/>
        <v>0</v>
      </c>
    </row>
    <row r="9" spans="1:13" outlineLevel="1" x14ac:dyDescent="0.3">
      <c r="A9" s="2" t="s">
        <v>7</v>
      </c>
      <c r="B9" s="5">
        <f t="shared" ca="1" si="0"/>
        <v>813</v>
      </c>
      <c r="C9" s="5">
        <f t="shared" ca="1" si="0"/>
        <v>507</v>
      </c>
      <c r="D9" s="2">
        <f t="shared" ca="1" si="1"/>
        <v>306</v>
      </c>
      <c r="E9" s="2">
        <f t="shared" ca="1" si="2"/>
        <v>39.78</v>
      </c>
    </row>
    <row r="10" spans="1:13" outlineLevel="1" x14ac:dyDescent="0.3">
      <c r="A10" s="2" t="s">
        <v>8</v>
      </c>
      <c r="B10" s="5">
        <f ca="1">RANDBETWEEN(0,1000)</f>
        <v>65</v>
      </c>
      <c r="C10" s="5">
        <f t="shared" ca="1" si="0"/>
        <v>124</v>
      </c>
      <c r="D10" s="2">
        <f ca="1">B10-C10</f>
        <v>-59</v>
      </c>
      <c r="E10" s="2">
        <f t="shared" ca="1" si="2"/>
        <v>0</v>
      </c>
    </row>
    <row r="11" spans="1:13" outlineLevel="1" x14ac:dyDescent="0.3">
      <c r="A11" s="2" t="s">
        <v>9</v>
      </c>
      <c r="B11" s="5">
        <f t="shared" ca="1" si="0"/>
        <v>996</v>
      </c>
      <c r="C11" s="5">
        <f t="shared" ca="1" si="0"/>
        <v>924</v>
      </c>
      <c r="D11" s="2">
        <f t="shared" ca="1" si="1"/>
        <v>72</v>
      </c>
      <c r="E11" s="2">
        <f t="shared" ca="1" si="2"/>
        <v>9.36</v>
      </c>
    </row>
    <row r="12" spans="1:13" outlineLevel="1" x14ac:dyDescent="0.3">
      <c r="A12" s="2" t="s">
        <v>10</v>
      </c>
      <c r="B12" s="5">
        <f t="shared" ca="1" si="0"/>
        <v>275</v>
      </c>
      <c r="C12" s="5">
        <f t="shared" ca="1" si="0"/>
        <v>694</v>
      </c>
      <c r="D12" s="2">
        <f t="shared" ca="1" si="1"/>
        <v>-419</v>
      </c>
      <c r="E12" s="2">
        <f t="shared" ca="1" si="2"/>
        <v>0</v>
      </c>
    </row>
    <row r="13" spans="1:13" outlineLevel="1" x14ac:dyDescent="0.3">
      <c r="A13" s="2" t="s">
        <v>11</v>
      </c>
      <c r="B13" s="5">
        <f t="shared" ca="1" si="0"/>
        <v>355</v>
      </c>
      <c r="C13" s="5">
        <f t="shared" ca="1" si="0"/>
        <v>103</v>
      </c>
      <c r="D13" s="2">
        <f t="shared" ca="1" si="1"/>
        <v>252</v>
      </c>
      <c r="E13" s="2">
        <f t="shared" ca="1" si="2"/>
        <v>32.76</v>
      </c>
    </row>
    <row r="14" spans="1:13" x14ac:dyDescent="0.3">
      <c r="A14" s="7" t="s">
        <v>18</v>
      </c>
      <c r="B14" s="6">
        <f ca="1">SUM(B2:B13)</f>
        <v>5878</v>
      </c>
      <c r="C14" s="6">
        <f t="shared" ref="C14:E14" ca="1" si="3">SUM(C2:C13)</f>
        <v>5161</v>
      </c>
      <c r="D14" s="6">
        <f t="shared" ca="1" si="3"/>
        <v>717</v>
      </c>
      <c r="E14" s="6">
        <f t="shared" ca="1" si="3"/>
        <v>278.2</v>
      </c>
    </row>
    <row r="23" spans="1:6" x14ac:dyDescent="0.3">
      <c r="A23" s="2" t="s">
        <v>20</v>
      </c>
    </row>
    <row r="24" spans="1:6" ht="28.8" x14ac:dyDescent="0.3">
      <c r="A24" s="9" t="str">
        <f ca="1">INDEX($A$1:$A$10,MATCH(D24,$D$1:$D$10,0))</f>
        <v>март</v>
      </c>
      <c r="B24" s="2"/>
      <c r="C24" s="2"/>
      <c r="D24" s="9">
        <f ca="1">MAX(D2:D13)</f>
        <v>784</v>
      </c>
      <c r="E24" s="2"/>
      <c r="F24" s="8" t="s">
        <v>19</v>
      </c>
    </row>
    <row r="26" spans="1:6" ht="28.8" x14ac:dyDescent="0.3">
      <c r="A26" s="9" t="str">
        <f ca="1">INDEX($A$2:$A$9,MATCH(D26,$D$2:$D$9,0))</f>
        <v>февраль</v>
      </c>
      <c r="B26" s="2"/>
      <c r="C26" s="2"/>
      <c r="D26" s="9">
        <f ca="1">MIN(D2:D13)</f>
        <v>-529</v>
      </c>
      <c r="E26" s="2"/>
      <c r="F26" s="8" t="s">
        <v>21</v>
      </c>
    </row>
  </sheetData>
  <conditionalFormatting sqref="D2:D13">
    <cfRule type="cellIs" dxfId="1" priority="1" operator="lessThan">
      <formula>0</formula>
    </cfRule>
  </conditionalFormatting>
  <dataValidations count="1">
    <dataValidation type="decimal" operator="greaterThanOrEqual" allowBlank="1" showInputMessage="1" showErrorMessage="1" errorTitle="ОШИБКА" error="НАДО ЧИТАТЬ ПОДСКАЗКУ! НЕ ШАЛИТЕ!" promptTitle="Ошибка ввода" prompt="Вводите числа! (неотрицательные)" sqref="B2:C1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M13"/>
  <sheetViews>
    <sheetView workbookViewId="0">
      <selection activeCell="L15" sqref="L15"/>
    </sheetView>
  </sheetViews>
  <sheetFormatPr defaultRowHeight="14.4" x14ac:dyDescent="0.3"/>
  <sheetData>
    <row r="1" spans="1:13" x14ac:dyDescent="0.3">
      <c r="A1" s="1" t="s">
        <v>13</v>
      </c>
      <c r="B1" s="1" t="s">
        <v>12</v>
      </c>
      <c r="C1" s="1" t="s">
        <v>14</v>
      </c>
      <c r="D1" s="1" t="s">
        <v>15</v>
      </c>
      <c r="E1" s="1" t="s">
        <v>16</v>
      </c>
      <c r="H1" s="11" t="s">
        <v>17</v>
      </c>
      <c r="I1" s="3">
        <v>0.13</v>
      </c>
      <c r="M1" s="3"/>
    </row>
    <row r="2" spans="1:13" x14ac:dyDescent="0.3">
      <c r="A2" s="1" t="s">
        <v>0</v>
      </c>
      <c r="B2" s="10">
        <v>12836</v>
      </c>
      <c r="C2" s="10">
        <v>8776</v>
      </c>
      <c r="D2" s="2">
        <f>B2-C2</f>
        <v>4060</v>
      </c>
      <c r="E2" s="2">
        <f>IF(D2*$I$1&gt;0,D2*$I$1,0)</f>
        <v>527.80000000000007</v>
      </c>
    </row>
    <row r="3" spans="1:13" x14ac:dyDescent="0.3">
      <c r="A3" s="1" t="s">
        <v>1</v>
      </c>
      <c r="B3" s="10">
        <v>13028</v>
      </c>
      <c r="C3" s="10">
        <v>14494</v>
      </c>
      <c r="D3" s="2">
        <f t="shared" ref="D3:D13" si="0">B3-C3</f>
        <v>-1466</v>
      </c>
      <c r="E3" s="2">
        <f t="shared" ref="E3:E13" si="1">IF(D3*$I$1&gt;0,D3*$I$1,0)</f>
        <v>0</v>
      </c>
    </row>
    <row r="4" spans="1:13" x14ac:dyDescent="0.3">
      <c r="A4" s="1" t="s">
        <v>2</v>
      </c>
      <c r="B4" s="10">
        <v>13116</v>
      </c>
      <c r="C4" s="10">
        <v>24126</v>
      </c>
      <c r="D4" s="2">
        <f t="shared" si="0"/>
        <v>-11010</v>
      </c>
      <c r="E4" s="2">
        <f t="shared" si="1"/>
        <v>0</v>
      </c>
    </row>
    <row r="5" spans="1:13" x14ac:dyDescent="0.3">
      <c r="A5" s="1" t="s">
        <v>3</v>
      </c>
      <c r="B5" s="10">
        <v>24658</v>
      </c>
      <c r="C5" s="10">
        <v>14823</v>
      </c>
      <c r="D5" s="2">
        <f t="shared" si="0"/>
        <v>9835</v>
      </c>
      <c r="E5" s="2">
        <f t="shared" si="1"/>
        <v>1278.55</v>
      </c>
    </row>
    <row r="6" spans="1:13" x14ac:dyDescent="0.3">
      <c r="A6" s="1" t="s">
        <v>4</v>
      </c>
      <c r="B6" s="10">
        <v>12731</v>
      </c>
      <c r="C6" s="10">
        <v>10727</v>
      </c>
      <c r="D6" s="2">
        <f t="shared" si="0"/>
        <v>2004</v>
      </c>
      <c r="E6" s="2">
        <f t="shared" si="1"/>
        <v>260.52</v>
      </c>
    </row>
    <row r="7" spans="1:13" x14ac:dyDescent="0.3">
      <c r="A7" s="1" t="s">
        <v>5</v>
      </c>
      <c r="B7" s="10">
        <v>10768</v>
      </c>
      <c r="C7" s="10">
        <v>18992</v>
      </c>
      <c r="D7" s="2">
        <f t="shared" si="0"/>
        <v>-8224</v>
      </c>
      <c r="E7" s="2">
        <f t="shared" si="1"/>
        <v>0</v>
      </c>
    </row>
    <row r="8" spans="1:13" x14ac:dyDescent="0.3">
      <c r="A8" s="1" t="s">
        <v>6</v>
      </c>
      <c r="B8" s="10">
        <v>14971</v>
      </c>
      <c r="C8" s="10">
        <v>15017</v>
      </c>
      <c r="D8" s="2">
        <f t="shared" si="0"/>
        <v>-46</v>
      </c>
      <c r="E8" s="2">
        <f t="shared" si="1"/>
        <v>0</v>
      </c>
    </row>
    <row r="9" spans="1:13" x14ac:dyDescent="0.3">
      <c r="A9" s="1" t="s">
        <v>7</v>
      </c>
      <c r="B9" s="10">
        <v>20117</v>
      </c>
      <c r="C9" s="10">
        <v>13545</v>
      </c>
      <c r="D9" s="2">
        <f t="shared" si="0"/>
        <v>6572</v>
      </c>
      <c r="E9" s="2">
        <f t="shared" si="1"/>
        <v>854.36</v>
      </c>
    </row>
    <row r="10" spans="1:13" x14ac:dyDescent="0.3">
      <c r="A10" s="1" t="s">
        <v>8</v>
      </c>
      <c r="B10" s="10">
        <v>18764</v>
      </c>
      <c r="C10" s="10">
        <v>11528</v>
      </c>
      <c r="D10" s="2">
        <f t="shared" si="0"/>
        <v>7236</v>
      </c>
      <c r="E10" s="2">
        <f t="shared" si="1"/>
        <v>940.68000000000006</v>
      </c>
    </row>
    <row r="11" spans="1:13" x14ac:dyDescent="0.3">
      <c r="A11" s="1" t="s">
        <v>9</v>
      </c>
      <c r="B11" s="10">
        <v>11162</v>
      </c>
      <c r="C11" s="10">
        <v>17917</v>
      </c>
      <c r="D11" s="2">
        <f t="shared" si="0"/>
        <v>-6755</v>
      </c>
      <c r="E11" s="2">
        <f t="shared" si="1"/>
        <v>0</v>
      </c>
    </row>
    <row r="12" spans="1:13" x14ac:dyDescent="0.3">
      <c r="A12" s="1" t="s">
        <v>10</v>
      </c>
      <c r="B12" s="10">
        <v>9372</v>
      </c>
      <c r="C12" s="10">
        <v>15785</v>
      </c>
      <c r="D12" s="2">
        <f t="shared" si="0"/>
        <v>-6413</v>
      </c>
      <c r="E12" s="2">
        <f t="shared" si="1"/>
        <v>0</v>
      </c>
    </row>
    <row r="13" spans="1:13" x14ac:dyDescent="0.3">
      <c r="A13" s="1" t="s">
        <v>11</v>
      </c>
      <c r="B13" s="10">
        <v>23398</v>
      </c>
      <c r="C13" s="10">
        <v>12443</v>
      </c>
      <c r="D13" s="2">
        <f t="shared" si="0"/>
        <v>10955</v>
      </c>
      <c r="E13" s="2">
        <f t="shared" si="1"/>
        <v>1424.15</v>
      </c>
    </row>
  </sheetData>
  <conditionalFormatting sqref="D2:D13">
    <cfRule type="cellIs" dxfId="0" priority="1" operator="lessThan">
      <formula>0</formula>
    </cfRule>
  </conditionalFormatting>
  <dataValidations count="1">
    <dataValidation type="decimal" operator="greaterThanOrEqual" allowBlank="1" showInputMessage="1" showErrorMessage="1" errorTitle="ОШИБКА" error="НАДО ЧИТАТЬ ПОДСКАЗКУ! НЕ ШАЛИТЕ!" promptTitle="Ошибка ввода" prompt="Вводите числа! (неотрицательные)" sqref="B2:C13">
      <formula1>0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365760</xdr:colOff>
                <xdr:row>1</xdr:row>
                <xdr:rowOff>68580</xdr:rowOff>
              </from>
              <to>
                <xdr:col>11</xdr:col>
                <xdr:colOff>175260</xdr:colOff>
                <xdr:row>5</xdr:row>
                <xdr:rowOff>144780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5</xdr:col>
                <xdr:colOff>434340</xdr:colOff>
                <xdr:row>7</xdr:row>
                <xdr:rowOff>76200</xdr:rowOff>
              </from>
              <to>
                <xdr:col>11</xdr:col>
                <xdr:colOff>213360</xdr:colOff>
                <xdr:row>11</xdr:row>
                <xdr:rowOff>53340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Дружинина</dc:creator>
  <cp:lastModifiedBy>Полина Дружинина</cp:lastModifiedBy>
  <dcterms:created xsi:type="dcterms:W3CDTF">2025-10-28T07:37:51Z</dcterms:created>
  <dcterms:modified xsi:type="dcterms:W3CDTF">2025-11-04T04:53:38Z</dcterms:modified>
</cp:coreProperties>
</file>